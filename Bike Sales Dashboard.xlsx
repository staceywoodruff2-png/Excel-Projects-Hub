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6c36cd0871f78b47/Documents/Data Projects/Excel Projects/"/>
    </mc:Choice>
  </mc:AlternateContent>
  <xr:revisionPtr revIDLastSave="0" documentId="8_{51552E8E-5054-4CED-B908-C7D436D2DD8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<sst xmlns="http://schemas.openxmlformats.org/spreadsheetml/2006/main" count="16475" uniqueCount="51">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</sst>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1479-4D22-9F9D-95DBDA29FB7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1479-4D22-9F9D-95DBDA29FB76}"/>
            </c:ext>
          </c:extLst>
        </c:ser>
        <c:dLbls>
          <c:showLegendKey val="0"/>
          <c:showVal val="0"/>
          <c:showCatName val="0"/>
          <c:showSerName val="0"/>
          <c:showPercent val="0"/>
          <c:showBubbleSize val="0"/>
        </c:dLbls>
        <c:gapWidth val="219"/>
        <c:overlap val="-27"/>
        <c:axId val="888991360"/>
        <c:axId val="888994240"/>
      </c:barChart>
      <c:catAx>
        <c:axId val="88899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94240"/>
        <c:crosses val="autoZero"/>
        <c:auto val="1"/>
        <c:lblAlgn val="ctr"/>
        <c:lblOffset val="100"/>
        <c:noMultiLvlLbl val="0"/>
      </c:catAx>
      <c:valAx>
        <c:axId val="88899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9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Per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EE05-4D39-9645-DED635E04808}"/>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EE05-4D39-9645-DED635E04808}"/>
            </c:ext>
          </c:extLst>
        </c:ser>
        <c:dLbls>
          <c:showLegendKey val="0"/>
          <c:showVal val="0"/>
          <c:showCatName val="0"/>
          <c:showSerName val="0"/>
          <c:showPercent val="0"/>
          <c:showBubbleSize val="0"/>
        </c:dLbls>
        <c:smooth val="0"/>
        <c:axId val="1074107088"/>
        <c:axId val="1074102768"/>
      </c:lineChart>
      <c:catAx>
        <c:axId val="107410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02768"/>
        <c:crosses val="autoZero"/>
        <c:auto val="1"/>
        <c:lblAlgn val="ctr"/>
        <c:lblOffset val="100"/>
        <c:noMultiLvlLbl val="0"/>
      </c:catAx>
      <c:valAx>
        <c:axId val="107410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0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DD71-4F14-A487-05F5E834D4BB}"/>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DD71-4F14-A487-05F5E834D4BB}"/>
            </c:ext>
          </c:extLst>
        </c:ser>
        <c:dLbls>
          <c:showLegendKey val="0"/>
          <c:showVal val="0"/>
          <c:showCatName val="0"/>
          <c:showSerName val="0"/>
          <c:showPercent val="0"/>
          <c:showBubbleSize val="0"/>
        </c:dLbls>
        <c:marker val="1"/>
        <c:smooth val="0"/>
        <c:axId val="1074137808"/>
        <c:axId val="1074130608"/>
      </c:lineChart>
      <c:catAx>
        <c:axId val="107413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30608"/>
        <c:crosses val="autoZero"/>
        <c:auto val="1"/>
        <c:lblAlgn val="ctr"/>
        <c:lblOffset val="100"/>
        <c:noMultiLvlLbl val="0"/>
      </c:catAx>
      <c:valAx>
        <c:axId val="10741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3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E129-43AB-BF09-50CE2817921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E129-43AB-BF09-50CE28179219}"/>
            </c:ext>
          </c:extLst>
        </c:ser>
        <c:dLbls>
          <c:showLegendKey val="0"/>
          <c:showVal val="0"/>
          <c:showCatName val="0"/>
          <c:showSerName val="0"/>
          <c:showPercent val="0"/>
          <c:showBubbleSize val="0"/>
        </c:dLbls>
        <c:gapWidth val="219"/>
        <c:overlap val="-27"/>
        <c:axId val="888991360"/>
        <c:axId val="888994240"/>
      </c:barChart>
      <c:catAx>
        <c:axId val="88899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94240"/>
        <c:crosses val="autoZero"/>
        <c:auto val="1"/>
        <c:lblAlgn val="ctr"/>
        <c:lblOffset val="100"/>
        <c:noMultiLvlLbl val="0"/>
      </c:catAx>
      <c:valAx>
        <c:axId val="88899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913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Per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EFDB-405B-97D7-B8829C5CFCDD}"/>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EFDB-405B-97D7-B8829C5CFCDD}"/>
            </c:ext>
          </c:extLst>
        </c:ser>
        <c:dLbls>
          <c:showLegendKey val="0"/>
          <c:showVal val="0"/>
          <c:showCatName val="0"/>
          <c:showSerName val="0"/>
          <c:showPercent val="0"/>
          <c:showBubbleSize val="0"/>
        </c:dLbls>
        <c:smooth val="0"/>
        <c:axId val="1074107088"/>
        <c:axId val="1074102768"/>
      </c:lineChart>
      <c:catAx>
        <c:axId val="107410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02768"/>
        <c:crosses val="autoZero"/>
        <c:auto val="1"/>
        <c:lblAlgn val="ctr"/>
        <c:lblOffset val="100"/>
        <c:noMultiLvlLbl val="0"/>
      </c:catAx>
      <c:valAx>
        <c:axId val="107410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0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EF83-4E7F-9495-9D6F65D09612}"/>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EF83-4E7F-9495-9D6F65D09612}"/>
            </c:ext>
          </c:extLst>
        </c:ser>
        <c:dLbls>
          <c:showLegendKey val="0"/>
          <c:showVal val="0"/>
          <c:showCatName val="0"/>
          <c:showSerName val="0"/>
          <c:showPercent val="0"/>
          <c:showBubbleSize val="0"/>
        </c:dLbls>
        <c:marker val="1"/>
        <c:smooth val="0"/>
        <c:axId val="1074137808"/>
        <c:axId val="1074130608"/>
      </c:lineChart>
      <c:catAx>
        <c:axId val="107413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30608"/>
        <c:crosses val="autoZero"/>
        <c:auto val="1"/>
        <c:lblAlgn val="ctr"/>
        <c:lblOffset val="100"/>
        <c:noMultiLvlLbl val="0"/>
      </c:catAx>
      <c:valAx>
        <c:axId val="10741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3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140970</xdr:rowOff>
    </xdr:from>
    <xdr:to>
      <xdr:col>12</xdr:col>
      <xdr:colOff>297180</xdr:colOff>
      <xdr:row>16</xdr:row>
      <xdr:rowOff>140970</xdr:rowOff>
    </xdr:to>
    <xdr:graphicFrame macro="">
      <xdr:nvGraphicFramePr>
        <xdr:cNvPr id="2" name="Chart 1">
          <a:extLst>
            <a:ext uri="{FF2B5EF4-FFF2-40B4-BE49-F238E27FC236}">
              <a16:creationId xmlns:a16="http://schemas.microsoft.com/office/drawing/2014/main" id="{F401EB37-AF30-6ADF-4AEE-258B1FA04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156210</xdr:rowOff>
    </xdr:from>
    <xdr:to>
      <xdr:col>12</xdr:col>
      <xdr:colOff>304800</xdr:colOff>
      <xdr:row>38</xdr:row>
      <xdr:rowOff>156210</xdr:rowOff>
    </xdr:to>
    <xdr:graphicFrame macro="">
      <xdr:nvGraphicFramePr>
        <xdr:cNvPr id="3" name="Chart 2">
          <a:extLst>
            <a:ext uri="{FF2B5EF4-FFF2-40B4-BE49-F238E27FC236}">
              <a16:creationId xmlns:a16="http://schemas.microsoft.com/office/drawing/2014/main" id="{3B8D8162-BB46-84D3-6536-868A6B1C6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46</xdr:row>
      <xdr:rowOff>11430</xdr:rowOff>
    </xdr:from>
    <xdr:to>
      <xdr:col>12</xdr:col>
      <xdr:colOff>289560</xdr:colOff>
      <xdr:row>61</xdr:row>
      <xdr:rowOff>11430</xdr:rowOff>
    </xdr:to>
    <xdr:graphicFrame macro="">
      <xdr:nvGraphicFramePr>
        <xdr:cNvPr id="4" name="Chart 3">
          <a:extLst>
            <a:ext uri="{FF2B5EF4-FFF2-40B4-BE49-F238E27FC236}">
              <a16:creationId xmlns:a16="http://schemas.microsoft.com/office/drawing/2014/main" id="{8CB6A863-CEAA-4698-6818-890CD65AC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228599</xdr:colOff>
      <xdr:row>5</xdr:row>
      <xdr:rowOff>167640</xdr:rowOff>
    </xdr:from>
    <xdr:to>
      <xdr:col>9</xdr:col>
      <xdr:colOff>141230</xdr:colOff>
      <xdr:row>19</xdr:row>
      <xdr:rowOff>167640</xdr:rowOff>
    </xdr:to>
    <xdr:graphicFrame macro="">
      <xdr:nvGraphicFramePr>
        <xdr:cNvPr id="2" name="Chart 1">
          <a:extLst>
            <a:ext uri="{FF2B5EF4-FFF2-40B4-BE49-F238E27FC236}">
              <a16:creationId xmlns:a16="http://schemas.microsoft.com/office/drawing/2014/main" id="{14E955DB-5BFF-4F0D-A688-9D30FFC74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236220</xdr:colOff>
      <xdr:row>20</xdr:row>
      <xdr:rowOff>15240</xdr:rowOff>
    </xdr:from>
    <xdr:to>
      <xdr:col>14</xdr:col>
      <xdr:colOff>601980</xdr:colOff>
      <xdr:row>35</xdr:row>
      <xdr:rowOff>15240</xdr:rowOff>
    </xdr:to>
    <xdr:graphicFrame macro="">
      <xdr:nvGraphicFramePr>
        <xdr:cNvPr id="3" name="Chart 2">
          <a:extLst>
            <a:ext uri="{FF2B5EF4-FFF2-40B4-BE49-F238E27FC236}">
              <a16:creationId xmlns:a16="http://schemas.microsoft.com/office/drawing/2014/main" id="{24959618-3D7A-4E02-8E5D-70F097F6C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114300</xdr:colOff>
      <xdr:row>5</xdr:row>
      <xdr:rowOff>167640</xdr:rowOff>
    </xdr:from>
    <xdr:to>
      <xdr:col>14</xdr:col>
      <xdr:colOff>594360</xdr:colOff>
      <xdr:row>19</xdr:row>
      <xdr:rowOff>167640</xdr:rowOff>
    </xdr:to>
    <xdr:graphicFrame macro="">
      <xdr:nvGraphicFramePr>
        <xdr:cNvPr id="4" name="Chart 3">
          <a:extLst>
            <a:ext uri="{FF2B5EF4-FFF2-40B4-BE49-F238E27FC236}">
              <a16:creationId xmlns:a16="http://schemas.microsoft.com/office/drawing/2014/main" id="{66D8841D-ADAA-49FF-B511-C656A3CDE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6</xdr:row>
      <xdr:rowOff>7620</xdr:rowOff>
    </xdr:from>
    <xdr:to>
      <xdr:col>3</xdr:col>
      <xdr:colOff>7620</xdr:colOff>
      <xdr:row>11</xdr:row>
      <xdr:rowOff>22859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18FBE12-6A38-943F-1493-5A9B8DC6E99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 y="1104900"/>
              <a:ext cx="18288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17</xdr:row>
      <xdr:rowOff>60961</xdr:rowOff>
    </xdr:from>
    <xdr:to>
      <xdr:col>3</xdr:col>
      <xdr:colOff>7620</xdr:colOff>
      <xdr:row>26</xdr:row>
      <xdr:rowOff>83821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670A132-9935-5B1D-ECD6-4A422DACE96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 y="3169921"/>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15241</xdr:rowOff>
    </xdr:from>
    <xdr:to>
      <xdr:col>3</xdr:col>
      <xdr:colOff>7620</xdr:colOff>
      <xdr:row>17</xdr:row>
      <xdr:rowOff>53341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81A937C-D224-351E-6DD3-D4B973278E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 y="202692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cey Woodruff" refreshedDate="46229.919001388887" createdVersion="8" refreshedVersion="8" minRefreshableVersion="3" recordCount="1026" xr:uid="{A663D468-9320-46C4-B957-D90893A37A2C}">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10067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031C09-C844-4D04-BCCD-F0E3D0AC1C36}"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D5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6925CF-0570-4CC8-9CCF-17E3EC06B42B}"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D3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F419FB-0D27-4DEB-A94E-68803E0EA7D0}"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8">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9DA7AAB-8F36-4F99-988D-D87D39E7D7FE}" sourceName="Marital Status">
  <pivotTables>
    <pivotTable tabId="3" name="PivotTable1"/>
    <pivotTable tabId="3" name="PivotTable2"/>
    <pivotTable tabId="3" name="PivotTable3"/>
  </pivotTables>
  <data>
    <tabular pivotCacheId="11100670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CA5F908-D014-4B6E-AED2-7D52B4F989AA}" sourceName="Education">
  <pivotTables>
    <pivotTable tabId="3" name="PivotTable1"/>
    <pivotTable tabId="3" name="PivotTable2"/>
    <pivotTable tabId="3" name="PivotTable3"/>
  </pivotTables>
  <data>
    <tabular pivotCacheId="111006700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6CE4EE-BE09-461B-A477-E03A418CB960}" sourceName="Region">
  <pivotTables>
    <pivotTable tabId="3" name="PivotTable1"/>
    <pivotTable tabId="3" name="PivotTable2"/>
    <pivotTable tabId="3" name="PivotTable3"/>
  </pivotTables>
  <data>
    <tabular pivotCacheId="111006700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3CCF4E6-B268-4C1B-8301-FD0640549368}" cache="Slicer_Marital_Status" caption="Marital Status" rowHeight="234950"/>
  <slicer name="Education" xr10:uid="{BAD49778-DAE2-46CC-B5BD-45BEA1234046}" cache="Slicer_Education" caption="Education" rowHeight="234950"/>
  <slicer name="Region" xr10:uid="{6F556E26-456D-434E-9B79-666EB4041F7E}"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80-AA67-4AE9-AA38-F8E657EBA4E6}">
  <dimension ref="A1:N1027"/>
  <sheetViews>
    <sheetView workbookViewId="0">
      <selection activeCell="O7" sqref="O7"/>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row r="1002" spans="1:14" x14ac:dyDescent="0.3">
      <c r="A1002">
        <v>13507</v>
      </c>
      <c r="B1002" t="s">
        <v>36</v>
      </c>
      <c r="C1002" t="s">
        <v>38</v>
      </c>
      <c r="D1002" s="3">
        <v>10000</v>
      </c>
      <c r="E1002">
        <v>2</v>
      </c>
      <c r="F1002" t="s">
        <v>19</v>
      </c>
      <c r="G1002" t="s">
        <v>25</v>
      </c>
      <c r="H1002" t="s">
        <v>15</v>
      </c>
      <c r="I1002">
        <v>0</v>
      </c>
      <c r="J1002" t="s">
        <v>26</v>
      </c>
      <c r="K1002" t="s">
        <v>17</v>
      </c>
      <c r="L1002">
        <v>50</v>
      </c>
      <c r="M1002" t="str">
        <f t="shared" si="15"/>
        <v>Middle Age</v>
      </c>
      <c r="N1002" t="s">
        <v>18</v>
      </c>
    </row>
    <row r="1003" spans="1:14" x14ac:dyDescent="0.3">
      <c r="A1003">
        <v>19280</v>
      </c>
      <c r="B1003" t="s">
        <v>36</v>
      </c>
      <c r="C1003" t="s">
        <v>39</v>
      </c>
      <c r="D1003" s="3">
        <v>120000</v>
      </c>
      <c r="E1003">
        <v>2</v>
      </c>
      <c r="F1003" t="s">
        <v>19</v>
      </c>
      <c r="G1003" t="s">
        <v>25</v>
      </c>
      <c r="H1003" t="s">
        <v>15</v>
      </c>
      <c r="I1003">
        <v>1</v>
      </c>
      <c r="J1003" t="s">
        <v>16</v>
      </c>
      <c r="K1003" t="s">
        <v>17</v>
      </c>
      <c r="L1003">
        <v>40</v>
      </c>
      <c r="M1003" t="str">
        <f t="shared" si="15"/>
        <v>Middle Age</v>
      </c>
      <c r="N1003" t="s">
        <v>15</v>
      </c>
    </row>
    <row r="1004" spans="1:14" x14ac:dyDescent="0.3">
      <c r="A1004">
        <v>22173</v>
      </c>
      <c r="B1004" t="s">
        <v>36</v>
      </c>
      <c r="C1004" t="s">
        <v>38</v>
      </c>
      <c r="D1004" s="3">
        <v>30000</v>
      </c>
      <c r="E1004">
        <v>3</v>
      </c>
      <c r="F1004" t="s">
        <v>27</v>
      </c>
      <c r="G1004" t="s">
        <v>14</v>
      </c>
      <c r="H1004" t="s">
        <v>18</v>
      </c>
      <c r="I1004">
        <v>2</v>
      </c>
      <c r="J1004" t="s">
        <v>26</v>
      </c>
      <c r="K1004" t="s">
        <v>24</v>
      </c>
      <c r="L1004">
        <v>54</v>
      </c>
      <c r="M1004" t="str">
        <f t="shared" si="15"/>
        <v>Middle Age</v>
      </c>
      <c r="N1004" t="s">
        <v>15</v>
      </c>
    </row>
    <row r="1005" spans="1:14" x14ac:dyDescent="0.3">
      <c r="A1005">
        <v>12697</v>
      </c>
      <c r="B1005" t="s">
        <v>37</v>
      </c>
      <c r="C1005" t="s">
        <v>38</v>
      </c>
      <c r="D1005" s="3">
        <v>90000</v>
      </c>
      <c r="E1005">
        <v>0</v>
      </c>
      <c r="F1005" t="s">
        <v>13</v>
      </c>
      <c r="G1005" t="s">
        <v>21</v>
      </c>
      <c r="H1005" t="s">
        <v>18</v>
      </c>
      <c r="I1005">
        <v>4</v>
      </c>
      <c r="J1005" t="s">
        <v>46</v>
      </c>
      <c r="K1005" t="s">
        <v>24</v>
      </c>
      <c r="L1005">
        <v>36</v>
      </c>
      <c r="M1005" t="str">
        <f t="shared" si="15"/>
        <v>Middle Age</v>
      </c>
      <c r="N1005" t="s">
        <v>18</v>
      </c>
    </row>
    <row r="1006" spans="1:14" x14ac:dyDescent="0.3">
      <c r="A1006">
        <v>11434</v>
      </c>
      <c r="B1006" t="s">
        <v>36</v>
      </c>
      <c r="C1006" t="s">
        <v>39</v>
      </c>
      <c r="D1006" s="3">
        <v>170000</v>
      </c>
      <c r="E1006">
        <v>5</v>
      </c>
      <c r="F1006" t="s">
        <v>19</v>
      </c>
      <c r="G1006" t="s">
        <v>21</v>
      </c>
      <c r="H1006" t="s">
        <v>15</v>
      </c>
      <c r="I1006">
        <v>0</v>
      </c>
      <c r="J1006" t="s">
        <v>16</v>
      </c>
      <c r="K1006" t="s">
        <v>17</v>
      </c>
      <c r="L1006">
        <v>55</v>
      </c>
      <c r="M1006" t="str">
        <f t="shared" si="15"/>
        <v>Old</v>
      </c>
      <c r="N1006" t="s">
        <v>18</v>
      </c>
    </row>
    <row r="1007" spans="1:14" x14ac:dyDescent="0.3">
      <c r="A1007">
        <v>25323</v>
      </c>
      <c r="B1007" t="s">
        <v>36</v>
      </c>
      <c r="C1007" t="s">
        <v>39</v>
      </c>
      <c r="D1007" s="3">
        <v>40000</v>
      </c>
      <c r="E1007">
        <v>2</v>
      </c>
      <c r="F1007" t="s">
        <v>19</v>
      </c>
      <c r="G1007" t="s">
        <v>20</v>
      </c>
      <c r="H1007" t="s">
        <v>15</v>
      </c>
      <c r="I1007">
        <v>1</v>
      </c>
      <c r="J1007" t="s">
        <v>26</v>
      </c>
      <c r="K1007" t="s">
        <v>17</v>
      </c>
      <c r="L1007">
        <v>35</v>
      </c>
      <c r="M1007" t="str">
        <f t="shared" si="15"/>
        <v>Middle Age</v>
      </c>
      <c r="N1007" t="s">
        <v>15</v>
      </c>
    </row>
    <row r="1008" spans="1:14" x14ac:dyDescent="0.3">
      <c r="A1008">
        <v>23542</v>
      </c>
      <c r="B1008" t="s">
        <v>37</v>
      </c>
      <c r="C1008" t="s">
        <v>39</v>
      </c>
      <c r="D1008" s="3">
        <v>60000</v>
      </c>
      <c r="E1008">
        <v>1</v>
      </c>
      <c r="F1008" t="s">
        <v>19</v>
      </c>
      <c r="G1008" t="s">
        <v>14</v>
      </c>
      <c r="H1008" t="s">
        <v>18</v>
      </c>
      <c r="I1008">
        <v>1</v>
      </c>
      <c r="J1008" t="s">
        <v>16</v>
      </c>
      <c r="K1008" t="s">
        <v>24</v>
      </c>
      <c r="L1008">
        <v>45</v>
      </c>
      <c r="M1008" t="str">
        <f t="shared" si="15"/>
        <v>Middle Age</v>
      </c>
      <c r="N1008" t="s">
        <v>15</v>
      </c>
    </row>
    <row r="1009" spans="1:14" x14ac:dyDescent="0.3">
      <c r="A1009">
        <v>20870</v>
      </c>
      <c r="B1009" t="s">
        <v>37</v>
      </c>
      <c r="C1009" t="s">
        <v>38</v>
      </c>
      <c r="D1009" s="3">
        <v>10000</v>
      </c>
      <c r="E1009">
        <v>2</v>
      </c>
      <c r="F1009" t="s">
        <v>27</v>
      </c>
      <c r="G1009" t="s">
        <v>25</v>
      </c>
      <c r="H1009" t="s">
        <v>15</v>
      </c>
      <c r="I1009">
        <v>1</v>
      </c>
      <c r="J1009" t="s">
        <v>16</v>
      </c>
      <c r="K1009" t="s">
        <v>17</v>
      </c>
      <c r="L1009">
        <v>38</v>
      </c>
      <c r="M1009" t="str">
        <f t="shared" si="15"/>
        <v>Middle Age</v>
      </c>
      <c r="N1009" t="s">
        <v>15</v>
      </c>
    </row>
    <row r="1010" spans="1:14" x14ac:dyDescent="0.3">
      <c r="A1010">
        <v>23316</v>
      </c>
      <c r="B1010" t="s">
        <v>37</v>
      </c>
      <c r="C1010" t="s">
        <v>39</v>
      </c>
      <c r="D1010" s="3">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36</v>
      </c>
      <c r="C1011" t="s">
        <v>38</v>
      </c>
      <c r="D1011" s="3">
        <v>30000</v>
      </c>
      <c r="E1011">
        <v>1</v>
      </c>
      <c r="F1011" t="s">
        <v>13</v>
      </c>
      <c r="G1011" t="s">
        <v>20</v>
      </c>
      <c r="H1011" t="s">
        <v>15</v>
      </c>
      <c r="I1011">
        <v>0</v>
      </c>
      <c r="J1011" t="s">
        <v>16</v>
      </c>
      <c r="K1011" t="s">
        <v>17</v>
      </c>
      <c r="L1011">
        <v>47</v>
      </c>
      <c r="M1011" t="str">
        <f t="shared" si="15"/>
        <v>Middle Age</v>
      </c>
      <c r="N1011" t="s">
        <v>18</v>
      </c>
    </row>
    <row r="1012" spans="1:14" x14ac:dyDescent="0.3">
      <c r="A1012">
        <v>27183</v>
      </c>
      <c r="B1012" t="s">
        <v>37</v>
      </c>
      <c r="C1012" t="s">
        <v>39</v>
      </c>
      <c r="D1012" s="3">
        <v>40000</v>
      </c>
      <c r="E1012">
        <v>2</v>
      </c>
      <c r="F1012" t="s">
        <v>19</v>
      </c>
      <c r="G1012" t="s">
        <v>20</v>
      </c>
      <c r="H1012" t="s">
        <v>15</v>
      </c>
      <c r="I1012">
        <v>1</v>
      </c>
      <c r="J1012" t="s">
        <v>26</v>
      </c>
      <c r="K1012" t="s">
        <v>17</v>
      </c>
      <c r="L1012">
        <v>35</v>
      </c>
      <c r="M1012" t="str">
        <f t="shared" si="15"/>
        <v>Middle Age</v>
      </c>
      <c r="N1012" t="s">
        <v>15</v>
      </c>
    </row>
    <row r="1013" spans="1:14" x14ac:dyDescent="0.3">
      <c r="A1013">
        <v>25940</v>
      </c>
      <c r="B1013" t="s">
        <v>37</v>
      </c>
      <c r="C1013" t="s">
        <v>39</v>
      </c>
      <c r="D1013" s="3">
        <v>20000</v>
      </c>
      <c r="E1013">
        <v>2</v>
      </c>
      <c r="F1013" t="s">
        <v>29</v>
      </c>
      <c r="G1013" t="s">
        <v>20</v>
      </c>
      <c r="H1013" t="s">
        <v>15</v>
      </c>
      <c r="I1013">
        <v>2</v>
      </c>
      <c r="J1013" t="s">
        <v>23</v>
      </c>
      <c r="K1013" t="s">
        <v>24</v>
      </c>
      <c r="L1013">
        <v>55</v>
      </c>
      <c r="M1013" t="str">
        <f t="shared" si="15"/>
        <v>Old</v>
      </c>
      <c r="N1013" t="s">
        <v>15</v>
      </c>
    </row>
    <row r="1014" spans="1:14" x14ac:dyDescent="0.3">
      <c r="A1014">
        <v>25598</v>
      </c>
      <c r="B1014" t="s">
        <v>36</v>
      </c>
      <c r="C1014" t="s">
        <v>38</v>
      </c>
      <c r="D1014" s="3">
        <v>40000</v>
      </c>
      <c r="E1014">
        <v>0</v>
      </c>
      <c r="F1014" t="s">
        <v>31</v>
      </c>
      <c r="G1014" t="s">
        <v>20</v>
      </c>
      <c r="H1014" t="s">
        <v>15</v>
      </c>
      <c r="I1014">
        <v>0</v>
      </c>
      <c r="J1014" t="s">
        <v>16</v>
      </c>
      <c r="K1014" t="s">
        <v>17</v>
      </c>
      <c r="L1014">
        <v>36</v>
      </c>
      <c r="M1014" t="str">
        <f t="shared" si="15"/>
        <v>Middle Age</v>
      </c>
      <c r="N1014" t="s">
        <v>15</v>
      </c>
    </row>
    <row r="1015" spans="1:14" x14ac:dyDescent="0.3">
      <c r="A1015">
        <v>21564</v>
      </c>
      <c r="B1015" t="s">
        <v>37</v>
      </c>
      <c r="C1015" t="s">
        <v>38</v>
      </c>
      <c r="D1015" s="3">
        <v>80000</v>
      </c>
      <c r="E1015">
        <v>0</v>
      </c>
      <c r="F1015" t="s">
        <v>13</v>
      </c>
      <c r="G1015" t="s">
        <v>21</v>
      </c>
      <c r="H1015" t="s">
        <v>15</v>
      </c>
      <c r="I1015">
        <v>4</v>
      </c>
      <c r="J1015" t="s">
        <v>46</v>
      </c>
      <c r="K1015" t="s">
        <v>24</v>
      </c>
      <c r="L1015">
        <v>35</v>
      </c>
      <c r="M1015" t="str">
        <f t="shared" si="15"/>
        <v>Middle Age</v>
      </c>
      <c r="N1015" t="s">
        <v>18</v>
      </c>
    </row>
    <row r="1016" spans="1:14" x14ac:dyDescent="0.3">
      <c r="A1016">
        <v>19193</v>
      </c>
      <c r="B1016" t="s">
        <v>37</v>
      </c>
      <c r="C1016" t="s">
        <v>39</v>
      </c>
      <c r="D1016" s="3">
        <v>40000</v>
      </c>
      <c r="E1016">
        <v>2</v>
      </c>
      <c r="F1016" t="s">
        <v>19</v>
      </c>
      <c r="G1016" t="s">
        <v>20</v>
      </c>
      <c r="H1016" t="s">
        <v>15</v>
      </c>
      <c r="I1016">
        <v>0</v>
      </c>
      <c r="J1016" t="s">
        <v>26</v>
      </c>
      <c r="K1016" t="s">
        <v>17</v>
      </c>
      <c r="L1016">
        <v>35</v>
      </c>
      <c r="M1016" t="str">
        <f t="shared" si="15"/>
        <v>Middle Age</v>
      </c>
      <c r="N1016" t="s">
        <v>15</v>
      </c>
    </row>
    <row r="1017" spans="1:14" x14ac:dyDescent="0.3">
      <c r="A1017">
        <v>26412</v>
      </c>
      <c r="B1017" t="s">
        <v>36</v>
      </c>
      <c r="C1017" t="s">
        <v>38</v>
      </c>
      <c r="D1017" s="3">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37</v>
      </c>
      <c r="C1018" t="s">
        <v>39</v>
      </c>
      <c r="D1018" s="3">
        <v>40000</v>
      </c>
      <c r="E1018">
        <v>2</v>
      </c>
      <c r="F1018" t="s">
        <v>19</v>
      </c>
      <c r="G1018" t="s">
        <v>20</v>
      </c>
      <c r="H1018" t="s">
        <v>18</v>
      </c>
      <c r="I1018">
        <v>1</v>
      </c>
      <c r="J1018" t="s">
        <v>16</v>
      </c>
      <c r="K1018" t="s">
        <v>17</v>
      </c>
      <c r="L1018">
        <v>34</v>
      </c>
      <c r="M1018" t="str">
        <f t="shared" si="15"/>
        <v>Middle Age</v>
      </c>
      <c r="N1018" t="s">
        <v>18</v>
      </c>
    </row>
    <row r="1019" spans="1:14" x14ac:dyDescent="0.3">
      <c r="A1019">
        <v>12590</v>
      </c>
      <c r="B1019" t="s">
        <v>37</v>
      </c>
      <c r="C1019" t="s">
        <v>39</v>
      </c>
      <c r="D1019" s="3">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37</v>
      </c>
      <c r="C1020" t="s">
        <v>39</v>
      </c>
      <c r="D1020" s="3">
        <v>30000</v>
      </c>
      <c r="E1020">
        <v>0</v>
      </c>
      <c r="F1020" t="s">
        <v>19</v>
      </c>
      <c r="G1020" t="s">
        <v>20</v>
      </c>
      <c r="H1020" t="s">
        <v>18</v>
      </c>
      <c r="I1020">
        <v>1</v>
      </c>
      <c r="J1020" t="s">
        <v>16</v>
      </c>
      <c r="K1020" t="s">
        <v>17</v>
      </c>
      <c r="L1020">
        <v>29</v>
      </c>
      <c r="M1020" t="str">
        <f t="shared" si="15"/>
        <v>Adolescent</v>
      </c>
      <c r="N1020" t="s">
        <v>15</v>
      </c>
    </row>
    <row r="1021" spans="1:14" x14ac:dyDescent="0.3">
      <c r="A1021">
        <v>18283</v>
      </c>
      <c r="B1021" t="s">
        <v>37</v>
      </c>
      <c r="C1021" t="s">
        <v>38</v>
      </c>
      <c r="D1021" s="3">
        <v>100000</v>
      </c>
      <c r="E1021">
        <v>0</v>
      </c>
      <c r="F1021" t="s">
        <v>13</v>
      </c>
      <c r="G1021" t="s">
        <v>21</v>
      </c>
      <c r="H1021" t="s">
        <v>18</v>
      </c>
      <c r="I1021">
        <v>1</v>
      </c>
      <c r="J1021" t="s">
        <v>23</v>
      </c>
      <c r="K1021" t="s">
        <v>24</v>
      </c>
      <c r="L1021">
        <v>40</v>
      </c>
      <c r="M1021" t="str">
        <f t="shared" si="15"/>
        <v>Middle Age</v>
      </c>
      <c r="N1021" t="s">
        <v>18</v>
      </c>
    </row>
    <row r="1022" spans="1:14" x14ac:dyDescent="0.3">
      <c r="A1022">
        <v>18299</v>
      </c>
      <c r="B1022" t="s">
        <v>36</v>
      </c>
      <c r="C1022" t="s">
        <v>39</v>
      </c>
      <c r="D1022" s="3">
        <v>70000</v>
      </c>
      <c r="E1022">
        <v>5</v>
      </c>
      <c r="F1022" t="s">
        <v>19</v>
      </c>
      <c r="G1022" t="s">
        <v>14</v>
      </c>
      <c r="H1022" t="s">
        <v>15</v>
      </c>
      <c r="I1022">
        <v>2</v>
      </c>
      <c r="J1022" t="s">
        <v>23</v>
      </c>
      <c r="K1022" t="s">
        <v>24</v>
      </c>
      <c r="L1022">
        <v>44</v>
      </c>
      <c r="M1022" t="str">
        <f t="shared" si="15"/>
        <v>Middle Age</v>
      </c>
      <c r="N1022" t="s">
        <v>18</v>
      </c>
    </row>
    <row r="1023" spans="1:14" x14ac:dyDescent="0.3">
      <c r="A1023">
        <v>16466</v>
      </c>
      <c r="B1023" t="s">
        <v>37</v>
      </c>
      <c r="C1023" t="s">
        <v>38</v>
      </c>
      <c r="D1023" s="3">
        <v>20000</v>
      </c>
      <c r="E1023">
        <v>0</v>
      </c>
      <c r="F1023" t="s">
        <v>29</v>
      </c>
      <c r="G1023" t="s">
        <v>25</v>
      </c>
      <c r="H1023" t="s">
        <v>18</v>
      </c>
      <c r="I1023">
        <v>2</v>
      </c>
      <c r="J1023" t="s">
        <v>16</v>
      </c>
      <c r="K1023" t="s">
        <v>17</v>
      </c>
      <c r="L1023">
        <v>32</v>
      </c>
      <c r="M1023" t="str">
        <f t="shared" si="15"/>
        <v>Middle Age</v>
      </c>
      <c r="N1023" t="s">
        <v>15</v>
      </c>
    </row>
    <row r="1024" spans="1:14" x14ac:dyDescent="0.3">
      <c r="A1024">
        <v>19273</v>
      </c>
      <c r="B1024" t="s">
        <v>36</v>
      </c>
      <c r="C1024" t="s">
        <v>38</v>
      </c>
      <c r="D1024" s="3">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36</v>
      </c>
      <c r="C1025" t="s">
        <v>39</v>
      </c>
      <c r="D1025" s="3">
        <v>10000</v>
      </c>
      <c r="E1025">
        <v>0</v>
      </c>
      <c r="F1025" t="s">
        <v>19</v>
      </c>
      <c r="G1025" t="s">
        <v>25</v>
      </c>
      <c r="H1025" t="s">
        <v>18</v>
      </c>
      <c r="I1025">
        <v>1</v>
      </c>
      <c r="J1025" t="s">
        <v>16</v>
      </c>
      <c r="K1025" t="s">
        <v>24</v>
      </c>
      <c r="L1025">
        <v>26</v>
      </c>
      <c r="M1025" t="str">
        <f t="shared" si="15"/>
        <v>Adolescent</v>
      </c>
      <c r="N1025" t="s">
        <v>15</v>
      </c>
    </row>
    <row r="1026" spans="1:14" x14ac:dyDescent="0.3">
      <c r="A1026">
        <v>20942</v>
      </c>
      <c r="B1026" t="s">
        <v>37</v>
      </c>
      <c r="C1026" t="s">
        <v>38</v>
      </c>
      <c r="D1026" s="3">
        <v>20000</v>
      </c>
      <c r="E1026">
        <v>0</v>
      </c>
      <c r="F1026" t="s">
        <v>27</v>
      </c>
      <c r="G1026" t="s">
        <v>25</v>
      </c>
      <c r="H1026" t="s">
        <v>18</v>
      </c>
      <c r="I1026">
        <v>1</v>
      </c>
      <c r="J1026" t="s">
        <v>23</v>
      </c>
      <c r="K1026" t="s">
        <v>17</v>
      </c>
      <c r="L1026">
        <v>31</v>
      </c>
      <c r="M1026" t="str">
        <f t="shared" si="15"/>
        <v>Middle Age</v>
      </c>
      <c r="N1026" t="s">
        <v>18</v>
      </c>
    </row>
    <row r="1027" spans="1:14" x14ac:dyDescent="0.3">
      <c r="A1027">
        <v>18484</v>
      </c>
      <c r="B1027" t="s">
        <v>37</v>
      </c>
      <c r="C1027" t="s">
        <v>39</v>
      </c>
      <c r="D1027" s="3">
        <v>80000</v>
      </c>
      <c r="E1027">
        <v>2</v>
      </c>
      <c r="F1027" t="s">
        <v>27</v>
      </c>
      <c r="G1027" t="s">
        <v>14</v>
      </c>
      <c r="H1027" t="s">
        <v>18</v>
      </c>
      <c r="I1027">
        <v>2</v>
      </c>
      <c r="J1027" t="s">
        <v>26</v>
      </c>
      <c r="K1027" t="s">
        <v>24</v>
      </c>
      <c r="L1027">
        <v>50</v>
      </c>
      <c r="M1027" t="str">
        <f t="shared" ref="M1027" si="16">IF(L1027&gt;54,"Old",IF(L1027&gt;=31,"Middle Age",IF(L1027&lt;31,"Adolescent","Invalid")))</f>
        <v>Middle Age</v>
      </c>
      <c r="N1027" t="s">
        <v>15</v>
      </c>
    </row>
  </sheetData>
  <autoFilter ref="A1:N1027" xr:uid="{3FE86280-AA67-4AE9-AA38-F8E657EBA4E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CC816-12EF-421F-9658-C1F0FF6CB5C6}">
  <dimension ref="A3:D53"/>
  <sheetViews>
    <sheetView topLeftCell="A39" workbookViewId="0">
      <selection activeCell="B50" sqref="B50"/>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6">
        <v>53449.612403100778</v>
      </c>
      <c r="C5" s="6">
        <v>55267.489711934155</v>
      </c>
      <c r="D5" s="6">
        <v>54331.337325349305</v>
      </c>
    </row>
    <row r="6" spans="1:4" x14ac:dyDescent="0.3">
      <c r="A6" s="5" t="s">
        <v>39</v>
      </c>
      <c r="B6" s="6">
        <v>56520.146520146518</v>
      </c>
      <c r="C6" s="6">
        <v>59603.174603174601</v>
      </c>
      <c r="D6" s="6">
        <v>58000</v>
      </c>
    </row>
    <row r="7" spans="1:4" x14ac:dyDescent="0.3">
      <c r="A7" s="5" t="s">
        <v>42</v>
      </c>
      <c r="B7" s="3">
        <v>55028.248587570619</v>
      </c>
      <c r="C7" s="3">
        <v>57474.747474747477</v>
      </c>
      <c r="D7" s="3">
        <v>56208.576998050681</v>
      </c>
    </row>
    <row r="25" spans="1:4" x14ac:dyDescent="0.3">
      <c r="A25" s="4" t="s">
        <v>45</v>
      </c>
      <c r="B25" s="4" t="s">
        <v>44</v>
      </c>
    </row>
    <row r="26" spans="1:4" x14ac:dyDescent="0.3">
      <c r="A26" s="4" t="s">
        <v>41</v>
      </c>
      <c r="B26" t="s">
        <v>18</v>
      </c>
      <c r="C26" t="s">
        <v>15</v>
      </c>
      <c r="D26" t="s">
        <v>42</v>
      </c>
    </row>
    <row r="27" spans="1:4" x14ac:dyDescent="0.3">
      <c r="A27" s="5" t="s">
        <v>16</v>
      </c>
      <c r="B27" s="7">
        <v>171</v>
      </c>
      <c r="C27" s="7">
        <v>207</v>
      </c>
      <c r="D27" s="7">
        <v>378</v>
      </c>
    </row>
    <row r="28" spans="1:4" x14ac:dyDescent="0.3">
      <c r="A28" s="5" t="s">
        <v>26</v>
      </c>
      <c r="B28" s="7">
        <v>93</v>
      </c>
      <c r="C28" s="7">
        <v>83</v>
      </c>
      <c r="D28" s="7">
        <v>176</v>
      </c>
    </row>
    <row r="29" spans="1:4" x14ac:dyDescent="0.3">
      <c r="A29" s="5" t="s">
        <v>22</v>
      </c>
      <c r="B29" s="7">
        <v>67</v>
      </c>
      <c r="C29" s="7">
        <v>95</v>
      </c>
      <c r="D29" s="7">
        <v>162</v>
      </c>
    </row>
    <row r="30" spans="1:4" x14ac:dyDescent="0.3">
      <c r="A30" s="5" t="s">
        <v>23</v>
      </c>
      <c r="B30" s="7">
        <v>120</v>
      </c>
      <c r="C30" s="7">
        <v>77</v>
      </c>
      <c r="D30" s="7">
        <v>197</v>
      </c>
    </row>
    <row r="31" spans="1:4" x14ac:dyDescent="0.3">
      <c r="A31" s="5" t="s">
        <v>46</v>
      </c>
      <c r="B31" s="7">
        <v>80</v>
      </c>
      <c r="C31" s="7">
        <v>33</v>
      </c>
      <c r="D31" s="7">
        <v>113</v>
      </c>
    </row>
    <row r="32" spans="1:4" x14ac:dyDescent="0.3">
      <c r="A32" s="5" t="s">
        <v>42</v>
      </c>
      <c r="B32" s="7">
        <v>531</v>
      </c>
      <c r="C32" s="7">
        <v>495</v>
      </c>
      <c r="D32" s="7">
        <v>1026</v>
      </c>
    </row>
    <row r="48" spans="1:2" x14ac:dyDescent="0.3">
      <c r="A48" s="4" t="s">
        <v>45</v>
      </c>
      <c r="B48" s="4" t="s">
        <v>44</v>
      </c>
    </row>
    <row r="49" spans="1:4" x14ac:dyDescent="0.3">
      <c r="A49" s="4" t="s">
        <v>41</v>
      </c>
      <c r="B49" t="s">
        <v>18</v>
      </c>
      <c r="C49" t="s">
        <v>15</v>
      </c>
      <c r="D49" t="s">
        <v>42</v>
      </c>
    </row>
    <row r="50" spans="1:4" x14ac:dyDescent="0.3">
      <c r="A50" s="5" t="s">
        <v>47</v>
      </c>
      <c r="B50" s="7">
        <v>71</v>
      </c>
      <c r="C50" s="7">
        <v>41</v>
      </c>
      <c r="D50" s="7">
        <v>112</v>
      </c>
    </row>
    <row r="51" spans="1:4" x14ac:dyDescent="0.3">
      <c r="A51" s="5" t="s">
        <v>48</v>
      </c>
      <c r="B51" s="7">
        <v>326</v>
      </c>
      <c r="C51" s="7">
        <v>393</v>
      </c>
      <c r="D51" s="7">
        <v>719</v>
      </c>
    </row>
    <row r="52" spans="1:4" x14ac:dyDescent="0.3">
      <c r="A52" s="5" t="s">
        <v>49</v>
      </c>
      <c r="B52" s="7">
        <v>134</v>
      </c>
      <c r="C52" s="7">
        <v>61</v>
      </c>
      <c r="D52" s="7">
        <v>195</v>
      </c>
    </row>
    <row r="53" spans="1:4" x14ac:dyDescent="0.3">
      <c r="A53" s="5" t="s">
        <v>42</v>
      </c>
      <c r="B53" s="7">
        <v>531</v>
      </c>
      <c r="C53" s="7">
        <v>495</v>
      </c>
      <c r="D53" s="7">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640F-D596-4B35-A5DB-ADF9C0D111A2}">
  <dimension ref="A1:O6"/>
  <sheetViews>
    <sheetView tabSelected="1" workbookViewId="0">
      <selection sqref="A1:O6"/>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Stacey Woodruff</dc:creator>
  <cp:lastModifiedBy>Stacey Woodruff</cp:lastModifiedBy>
  <dcterms:created xsi:type="dcterms:W3CDTF">2022-03-18T02:50:57Z</dcterms:created>
  <dcterms:modified xsi:type="dcterms:W3CDTF">2026-07-27T04:31:37Z</dcterms:modified>
</cp:coreProperties>
</file>